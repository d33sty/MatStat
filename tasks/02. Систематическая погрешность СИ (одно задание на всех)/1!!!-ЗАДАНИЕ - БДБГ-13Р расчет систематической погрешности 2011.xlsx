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/>
</workbook>
</file>

<file path=xl/sharedStrings.xml><?xml version="1.0" encoding="utf-8"?>
<sst xmlns="http://schemas.openxmlformats.org/spreadsheetml/2006/main" count="8" uniqueCount="8">
  <si>
    <r>
      <t xml:space="preserve">Ниже приведены результаты измерения прибором  мощности дозы  эталонного источника и фона.
Задание: </t>
    </r>
    <r>
      <rPr>
        <b/>
        <sz val="11"/>
        <color theme="1"/>
        <rFont val="Calibri"/>
        <scheme val="minor"/>
      </rPr>
      <t xml:space="preserve">оценить систематическую погрешность прибора.</t>
    </r>
  </si>
  <si>
    <r>
      <t xml:space="preserve">H1 = 5∙10Е-7 Зв∙ч</t>
    </r>
    <r>
      <rPr>
        <vertAlign val="superscript"/>
        <sz val="11"/>
        <color indexed="64"/>
        <rFont val="Times New Roman"/>
      </rPr>
      <t xml:space="preserve">-1
</t>
    </r>
  </si>
  <si>
    <t xml:space="preserve">значение мощности эталона</t>
  </si>
  <si>
    <t>фон</t>
  </si>
  <si>
    <t xml:space="preserve">измерение источника вместе с фоном</t>
  </si>
  <si>
    <t xml:space="preserve">среднее значение</t>
  </si>
  <si>
    <t xml:space="preserve">Абсолютная погрешность эталона рассчитывается </t>
  </si>
  <si>
    <t>Δ=2.3*Н/100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</si>
</sst>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0.0000E+00"/>
  </numFmts>
  <fonts count="5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sz val="11.000000"/>
      <color indexed="64"/>
      <name val="Times New Roman"/>
    </font>
    <font>
      <sz val="11.000000"/>
      <color indexed="64"/>
      <name val="Arial"/>
    </font>
    <font>
      <sz val="11.000000"/>
      <color indexed="64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57"/>
        <bgColor indexed="57"/>
      </patternFill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indexed="47"/>
        <bgColor indexed="47"/>
      </patternFill>
    </fill>
    <fill>
      <patternFill patternType="solid">
        <fgColor indexed="19"/>
        <bgColor indexed="19"/>
      </patternFill>
    </fill>
    <fill>
      <patternFill patternType="solid">
        <fgColor theme="0"/>
        <bgColor theme="0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22">
    <xf fontId="0" fillId="0" borderId="0" numFmtId="0" xfId="0"/>
    <xf fontId="0" fillId="0" borderId="0" numFmtId="0" xfId="0" applyAlignment="1">
      <alignment wrapText="1"/>
    </xf>
    <xf fontId="0" fillId="0" borderId="0" numFmtId="0" xfId="0"/>
    <xf fontId="0" fillId="2" borderId="1" numFmtId="0" xfId="0" applyFill="1" applyBorder="1"/>
    <xf fontId="2" fillId="3" borderId="2" numFmtId="0" xfId="0" applyFont="1" applyFill="1" applyBorder="1" applyAlignment="1">
      <alignment horizontal="center" vertical="center" wrapText="1"/>
    </xf>
    <xf fontId="2" fillId="3" borderId="3" numFmtId="0" xfId="0" applyFont="1" applyFill="1" applyBorder="1" applyAlignment="1">
      <alignment horizontal="center" vertical="center" wrapText="1"/>
    </xf>
    <xf fontId="0" fillId="3" borderId="1" numFmtId="160" xfId="0" applyNumberFormat="1" applyFill="1" applyBorder="1" applyAlignment="1">
      <alignment vertical="center" wrapText="1"/>
    </xf>
    <xf fontId="2" fillId="0" borderId="0" numFmtId="0" xfId="0" applyFont="1" applyAlignment="1">
      <alignment horizontal="center" vertical="center" wrapText="1"/>
    </xf>
    <xf fontId="2" fillId="4" borderId="4" numFmtId="0" xfId="0" applyFont="1" applyFill="1" applyBorder="1" applyAlignment="1">
      <alignment horizontal="center" vertical="center" wrapText="1"/>
    </xf>
    <xf fontId="2" fillId="4" borderId="5" numFmtId="0" xfId="0" applyFont="1" applyFill="1" applyBorder="1" applyAlignment="1">
      <alignment horizontal="center" vertical="center" wrapText="1"/>
    </xf>
    <xf fontId="0" fillId="0" borderId="1" numFmtId="0" xfId="0" applyBorder="1" applyAlignment="1">
      <alignment horizontal="center"/>
    </xf>
    <xf fontId="0" fillId="0" borderId="1" numFmtId="0" xfId="0" applyBorder="1"/>
    <xf fontId="0" fillId="4" borderId="1" numFmtId="160" xfId="0" applyNumberFormat="1" applyFill="1" applyBorder="1"/>
    <xf fontId="0" fillId="0" borderId="6" numFmtId="0" xfId="0" applyBorder="1" applyAlignment="1">
      <alignment horizontal="center"/>
    </xf>
    <xf fontId="0" fillId="0" borderId="6" numFmtId="0" xfId="0" applyBorder="1"/>
    <xf fontId="0" fillId="4" borderId="6" numFmtId="160" xfId="0" applyNumberFormat="1" applyFill="1" applyBorder="1"/>
    <xf fontId="0" fillId="5" borderId="0" numFmtId="0" xfId="0" applyFill="1"/>
    <xf fontId="0" fillId="5" borderId="1" numFmtId="0" xfId="0" applyFill="1" applyBorder="1"/>
    <xf fontId="0" fillId="5" borderId="1" numFmtId="0" xfId="0" applyFill="1" applyBorder="1" applyAlignment="1">
      <alignment vertical="center"/>
    </xf>
    <xf fontId="0" fillId="6" borderId="0" numFmtId="0" xfId="0" applyFill="1"/>
    <xf fontId="3" fillId="0" borderId="0" numFmtId="0" xfId="0" applyFont="1"/>
    <xf fontId="4" fillId="0" borderId="0" numFmtId="0" xfId="0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1059180</xdr:colOff>
      <xdr:row>25</xdr:row>
      <xdr:rowOff>0</xdr:rowOff>
    </xdr:from>
    <xdr:to>
      <xdr:col>2</xdr:col>
      <xdr:colOff>624840</xdr:colOff>
      <xdr:row>25</xdr:row>
      <xdr:rowOff>0</xdr:rowOff>
    </xdr:to>
    <xdr:pic>
      <xdr:nvPicPr>
        <xdr:cNvPr id="1026" name="Рисунок 8"/>
        <xdr:cNvPicPr>
          <a:picLocks noChangeAspect="1" noChangeArrowheads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>
          <a:off x="2994660" y="6248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2</xdr:col>
      <xdr:colOff>1203960</xdr:colOff>
      <xdr:row>27</xdr:row>
      <xdr:rowOff>0</xdr:rowOff>
    </xdr:from>
    <xdr:to>
      <xdr:col>2</xdr:col>
      <xdr:colOff>624840</xdr:colOff>
      <xdr:row>27</xdr:row>
      <xdr:rowOff>182880</xdr:rowOff>
    </xdr:to>
    <xdr:pic>
      <xdr:nvPicPr>
        <xdr:cNvPr id="1028" name="Рисунок 11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>
          <a:off x="2994660" y="7711440"/>
          <a:ext cx="0" cy="182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1</xdr:col>
      <xdr:colOff>1280160</xdr:colOff>
      <xdr:row>25</xdr:row>
      <xdr:rowOff>0</xdr:rowOff>
    </xdr:from>
    <xdr:to>
      <xdr:col>1</xdr:col>
      <xdr:colOff>1470660</xdr:colOff>
      <xdr:row>25</xdr:row>
      <xdr:rowOff>0</xdr:rowOff>
    </xdr:to>
    <xdr:pic>
      <xdr:nvPicPr>
        <xdr:cNvPr id="1029" name="Рисунок 14"/>
        <xdr:cNvPicPr>
          <a:picLocks noChangeAspect="1" noChangeArrowheads="1"/>
        </xdr:cNvPicPr>
      </xdr:nvPicPr>
      <xdr:blipFill>
        <a:blip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>
          <a:off x="1905000" y="6248400"/>
          <a:ext cx="1905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1</xdr:col>
      <xdr:colOff>1257299</xdr:colOff>
      <xdr:row>25</xdr:row>
      <xdr:rowOff>0</xdr:rowOff>
    </xdr:from>
    <xdr:to>
      <xdr:col>1</xdr:col>
      <xdr:colOff>1478280</xdr:colOff>
      <xdr:row>25</xdr:row>
      <xdr:rowOff>0</xdr:rowOff>
    </xdr:to>
    <xdr:pic>
      <xdr:nvPicPr>
        <xdr:cNvPr id="1030" name="Рисунок 15"/>
        <xdr:cNvPicPr>
          <a:picLocks noChangeAspect="1" noChangeArrowheads="1"/>
        </xdr:cNvPicPr>
      </xdr:nvPicPr>
      <xdr:blipFill>
        <a:blip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>
          <a:off x="1882140" y="6248400"/>
          <a:ext cx="2209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1</xdr:col>
      <xdr:colOff>1264920</xdr:colOff>
      <xdr:row>25</xdr:row>
      <xdr:rowOff>0</xdr:rowOff>
    </xdr:from>
    <xdr:to>
      <xdr:col>1</xdr:col>
      <xdr:colOff>1447800</xdr:colOff>
      <xdr:row>25</xdr:row>
      <xdr:rowOff>0</xdr:rowOff>
    </xdr:to>
    <xdr:pic>
      <xdr:nvPicPr>
        <xdr:cNvPr id="1031" name="Рисунок 16"/>
        <xdr:cNvPicPr>
          <a:picLocks noChangeAspect="1" noChangeArrowheads="1"/>
        </xdr:cNvPicPr>
      </xdr:nvPicPr>
      <xdr:blipFill>
        <a:blip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>
          <a:off x="1889760" y="6248400"/>
          <a:ext cx="1828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1</xdr:col>
      <xdr:colOff>381000</xdr:colOff>
      <xdr:row>25</xdr:row>
      <xdr:rowOff>0</xdr:rowOff>
    </xdr:from>
    <xdr:to>
      <xdr:col>1</xdr:col>
      <xdr:colOff>502920</xdr:colOff>
      <xdr:row>25</xdr:row>
      <xdr:rowOff>0</xdr:rowOff>
    </xdr:to>
    <xdr:pic>
      <xdr:nvPicPr>
        <xdr:cNvPr id="1032" name="Рисунок 17"/>
        <xdr:cNvPicPr>
          <a:picLocks noChangeAspect="1" noChangeArrowheads="1"/>
        </xdr:cNvPicPr>
      </xdr:nvPicPr>
      <xdr:blipFill>
        <a:blip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>
          <a:off x="1005840" y="6248400"/>
          <a:ext cx="1219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1</xdr:col>
      <xdr:colOff>365760</xdr:colOff>
      <xdr:row>25</xdr:row>
      <xdr:rowOff>0</xdr:rowOff>
    </xdr:from>
    <xdr:to>
      <xdr:col>1</xdr:col>
      <xdr:colOff>487680</xdr:colOff>
      <xdr:row>25</xdr:row>
      <xdr:rowOff>0</xdr:rowOff>
    </xdr:to>
    <xdr:pic>
      <xdr:nvPicPr>
        <xdr:cNvPr id="1033" name="Рисунок 18"/>
        <xdr:cNvPicPr>
          <a:picLocks noChangeAspect="1" noChangeArrowheads="1"/>
        </xdr:cNvPicPr>
      </xdr:nvPicPr>
      <xdr:blipFill>
        <a:blip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>
          <a:off x="990600" y="6248400"/>
          <a:ext cx="1219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1</xdr:col>
      <xdr:colOff>784860</xdr:colOff>
      <xdr:row>25</xdr:row>
      <xdr:rowOff>0</xdr:rowOff>
    </xdr:from>
    <xdr:to>
      <xdr:col>1</xdr:col>
      <xdr:colOff>944880</xdr:colOff>
      <xdr:row>25</xdr:row>
      <xdr:rowOff>0</xdr:rowOff>
    </xdr:to>
    <xdr:pic>
      <xdr:nvPicPr>
        <xdr:cNvPr id="1034" name="Рисунок 19"/>
        <xdr:cNvPicPr>
          <a:picLocks noChangeAspect="1" noChangeArrowheads="1"/>
        </xdr:cNvPicPr>
      </xdr:nvPicPr>
      <xdr:blipFill>
        <a:blip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>
          <a:off x="1409700" y="6248400"/>
          <a:ext cx="16002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pic>
      <xdr:nvPicPr>
        <xdr:cNvPr id="1035" name="Рисунок 12"/>
        <xdr:cNvPicPr>
          <a:picLocks noChangeAspect="1" noChangeArrowheads="1"/>
        </xdr:cNvPicPr>
      </xdr:nvPicPr>
      <xdr:blipFill>
        <a:blip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>
          <a:off x="5516880" y="6248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pic>
      <xdr:nvPicPr>
        <xdr:cNvPr id="1036" name="Рисунок 13"/>
        <xdr:cNvPicPr>
          <a:picLocks noChangeAspect="1" noChangeArrowheads="1"/>
        </xdr:cNvPicPr>
      </xdr:nvPicPr>
      <xdr:blipFill>
        <a:blip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>
          <a:off x="5516880" y="6248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pic>
      <xdr:nvPicPr>
        <xdr:cNvPr id="1037" name="Рисунок 20"/>
        <xdr:cNvPicPr>
          <a:picLocks noChangeAspect="1" noChangeArrowheads="1"/>
        </xdr:cNvPicPr>
      </xdr:nvPicPr>
      <xdr:blipFill>
        <a:blip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>
          <a:off x="5516880" y="6248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pic>
      <xdr:nvPicPr>
        <xdr:cNvPr id="1038" name="Рисунок 21"/>
        <xdr:cNvPicPr>
          <a:picLocks noChangeAspect="1" noChangeArrowheads="1"/>
        </xdr:cNvPicPr>
      </xdr:nvPicPr>
      <xdr:blipFill>
        <a:blip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>
          <a:off x="5516880" y="6248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pic>
      <xdr:nvPicPr>
        <xdr:cNvPr id="1039" name="Рисунок 22"/>
        <xdr:cNvPicPr>
          <a:picLocks noChangeAspect="1" noChangeArrowheads="1"/>
        </xdr:cNvPicPr>
      </xdr:nvPicPr>
      <xdr:blipFill>
        <a:blip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>
          <a:off x="5516880" y="6248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twoCell"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pic>
      <xdr:nvPicPr>
        <xdr:cNvPr id="1040" name="Рисунок 23"/>
        <xdr:cNvPicPr>
          <a:picLocks noChangeAspect="1" noChangeArrowheads="1"/>
        </xdr:cNvPicPr>
      </xdr:nvPicPr>
      <xdr:blipFill>
        <a:blip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/>
      </xdr:blipFill>
      <xdr:spPr bwMode="auto">
        <a:xfrm>
          <a:off x="5516880" y="62484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workbookViewId="0">
      <selection activeCell="H5" activeCellId="0" sqref="H5"/>
    </sheetView>
  </sheetViews>
  <sheetFormatPr defaultRowHeight="14.25"/>
  <cols>
    <col customWidth="1" min="1" max="1" width="9.109375"/>
    <col customWidth="1" min="2" max="2" width="25.44140625"/>
    <col customWidth="1" min="3" max="3" width="9.109375"/>
    <col customWidth="1" min="4" max="4" width="14.33203125"/>
    <col customWidth="1" min="5" max="5" width="12"/>
    <col customWidth="1" min="6" max="6" width="10.44140625"/>
    <col customWidth="1" min="7" max="7" width="14.33203125"/>
  </cols>
  <sheetData>
    <row r="2" ht="55.799999999999997" customHeight="1">
      <c r="B2" s="1" t="s">
        <v>0</v>
      </c>
      <c r="C2" s="2"/>
      <c r="D2" s="2"/>
      <c r="E2" s="2"/>
      <c r="F2" s="2"/>
    </row>
    <row r="3" ht="88.200000000000003" customHeight="1">
      <c r="A3" s="3"/>
      <c r="B3" s="1"/>
      <c r="E3" s="4" t="s">
        <v>1</v>
      </c>
      <c r="F3" s="5"/>
      <c r="G3" s="6" t="s">
        <v>2</v>
      </c>
      <c r="H3" s="7"/>
      <c r="I3" s="7"/>
    </row>
    <row r="4" ht="57">
      <c r="D4" t="s">
        <v>3</v>
      </c>
      <c r="E4" s="8" t="s">
        <v>4</v>
      </c>
      <c r="F4" s="9"/>
    </row>
    <row r="5">
      <c r="C5" s="10">
        <v>1</v>
      </c>
      <c r="D5" s="11">
        <f t="shared" ref="D5:D6" si="0">6.579*10^-8</f>
        <v>6.5789999999999996e-08</v>
      </c>
      <c r="E5" s="12">
        <f>4.7*10^-7</f>
        <v>4.7e-07</v>
      </c>
      <c r="F5" s="12"/>
    </row>
    <row r="6">
      <c r="C6" s="10">
        <v>2</v>
      </c>
      <c r="D6" s="11">
        <f t="shared" si="0"/>
        <v>6.5789999999999996e-08</v>
      </c>
      <c r="E6" s="12">
        <f>5.076*10^-7</f>
        <v>5.0759999999999991e-07</v>
      </c>
      <c r="F6" s="12"/>
    </row>
    <row r="7">
      <c r="C7" s="10">
        <v>3</v>
      </c>
      <c r="D7" s="11">
        <f>8.459*10^-8</f>
        <v>8.4589999999999992e-08</v>
      </c>
      <c r="E7" s="12">
        <f>5.264*10^-7</f>
        <v>5.2639999999999995e-07</v>
      </c>
      <c r="F7" s="12"/>
    </row>
    <row r="8">
      <c r="C8" s="10">
        <v>4</v>
      </c>
      <c r="D8" s="11">
        <f>12.22*10^-8</f>
        <v>1.222e-07</v>
      </c>
      <c r="E8" s="12">
        <f>6.015*10^-7</f>
        <v>6.0149999999999998e-07</v>
      </c>
      <c r="F8" s="12"/>
    </row>
    <row r="9">
      <c r="C9" s="10">
        <v>5</v>
      </c>
      <c r="D9" s="11">
        <f>9.399*10^-8</f>
        <v>9.3989999999999997e-08</v>
      </c>
      <c r="E9" s="12">
        <f>4.23*10^-7</f>
        <v>4.2300000000000002e-07</v>
      </c>
      <c r="F9" s="12"/>
    </row>
    <row r="10">
      <c r="C10" s="10">
        <v>6</v>
      </c>
      <c r="D10" s="11">
        <f>3.76*10^-8</f>
        <v>3.7599999999999999e-08</v>
      </c>
      <c r="E10" s="12">
        <f>5.076*10^-7</f>
        <v>5.0759999999999991e-07</v>
      </c>
      <c r="F10" s="12"/>
    </row>
    <row r="11">
      <c r="C11" s="10">
        <v>7</v>
      </c>
      <c r="D11" s="11">
        <f>10.34*10^-8</f>
        <v>1.034e-07</v>
      </c>
      <c r="E11" s="12">
        <f>4.606*10^-7</f>
        <v>4.6059999999999998e-07</v>
      </c>
      <c r="F11" s="12"/>
    </row>
    <row r="12">
      <c r="C12" s="10">
        <v>8</v>
      </c>
      <c r="D12" s="11">
        <f>11.28*10^-8</f>
        <v>1.1279999999999999e-07</v>
      </c>
      <c r="E12" s="12">
        <f>5.264*10^-7</f>
        <v>5.2639999999999995e-07</v>
      </c>
      <c r="F12" s="12"/>
    </row>
    <row r="13">
      <c r="C13" s="10">
        <v>9</v>
      </c>
      <c r="D13" s="11">
        <f>7.908*10^-8</f>
        <v>7.9080000000000004e-08</v>
      </c>
      <c r="E13" s="12">
        <f>5.827*10^-7</f>
        <v>5.8269999999999994e-07</v>
      </c>
      <c r="F13" s="12"/>
    </row>
    <row r="14">
      <c r="C14" s="10">
        <v>10</v>
      </c>
      <c r="D14" s="11">
        <f>9.246*10^-8</f>
        <v>9.2460000000000009e-08</v>
      </c>
      <c r="E14" s="12">
        <f>5.073*10^-7</f>
        <v>5.073e-07</v>
      </c>
      <c r="F14" s="12"/>
    </row>
    <row r="15">
      <c r="C15" s="10">
        <v>11</v>
      </c>
      <c r="D15" s="11"/>
      <c r="E15" s="12">
        <f>5.22*10^-7</f>
        <v>5.2199999999999994e-07</v>
      </c>
      <c r="F15" s="12"/>
    </row>
    <row r="16">
      <c r="C16" s="10">
        <v>12</v>
      </c>
      <c r="D16" s="11"/>
      <c r="E16" s="12">
        <f>5.312*10^-7</f>
        <v>5.3119999999999999e-07</v>
      </c>
      <c r="F16" s="12"/>
    </row>
    <row r="17">
      <c r="C17" s="10">
        <v>13</v>
      </c>
      <c r="D17" s="11"/>
      <c r="E17" s="12">
        <f>5.173*10^-7</f>
        <v>5.1730000000000001e-07</v>
      </c>
      <c r="F17" s="12"/>
    </row>
    <row r="18">
      <c r="C18" s="10">
        <v>14</v>
      </c>
      <c r="D18" s="11"/>
      <c r="E18" s="12">
        <f>5.3*10^-7</f>
        <v>5.3000000000000001e-07</v>
      </c>
      <c r="F18" s="12"/>
    </row>
    <row r="19">
      <c r="C19" s="10">
        <v>15</v>
      </c>
      <c r="D19" s="11"/>
      <c r="E19" s="12">
        <f>4.943*10^-7</f>
        <v>4.9429999999999997e-07</v>
      </c>
      <c r="F19" s="12"/>
    </row>
    <row r="20">
      <c r="C20" s="10">
        <v>16</v>
      </c>
      <c r="D20" s="11"/>
      <c r="E20" s="12">
        <f>4.875*10^-7</f>
        <v>4.8749999999999999e-07</v>
      </c>
      <c r="F20" s="12"/>
    </row>
    <row r="21">
      <c r="C21" s="10">
        <v>17</v>
      </c>
      <c r="D21" s="11"/>
      <c r="E21" s="12">
        <f>5.119*10^-7</f>
        <v>5.1189999999999992e-07</v>
      </c>
      <c r="F21" s="12"/>
    </row>
    <row r="22">
      <c r="C22" s="10">
        <v>18</v>
      </c>
      <c r="D22" s="11"/>
      <c r="E22" s="12">
        <f>5.093*10^-7</f>
        <v>5.0929999999999993e-07</v>
      </c>
      <c r="F22" s="12"/>
    </row>
    <row r="23">
      <c r="C23" s="10">
        <v>19</v>
      </c>
      <c r="D23" s="11"/>
      <c r="E23" s="12">
        <f>5.112*10^-7</f>
        <v>5.1119999999999997e-07</v>
      </c>
      <c r="F23" s="12"/>
    </row>
    <row r="24">
      <c r="C24" s="13">
        <v>20</v>
      </c>
      <c r="D24" s="14"/>
      <c r="E24" s="15">
        <f>5.073*10^-7</f>
        <v>5.073e-07</v>
      </c>
      <c r="F24" s="15"/>
    </row>
    <row r="25" s="16" customFormat="1" ht="31.5" customHeight="1">
      <c r="B25" s="17" t="s">
        <v>5</v>
      </c>
      <c r="C25" s="17"/>
      <c r="D25" s="17">
        <f>SUM(D5:D14)/10</f>
        <v>8.5770000000000006e-08</v>
      </c>
      <c r="E25" s="17">
        <f>SUM(E5:E24)/20</f>
        <v>5.1175499999999994e-07</v>
      </c>
      <c r="F25" s="18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>
      <c r="B26" t="s">
        <v>6</v>
      </c>
    </row>
    <row r="27">
      <c r="B27" s="20" t="s">
        <v>7</v>
      </c>
      <c r="C27" s="21"/>
      <c r="D27" s="2"/>
    </row>
    <row r="28">
      <c r="D28" s="2"/>
    </row>
    <row r="29">
      <c r="D29" s="2"/>
    </row>
  </sheetData>
  <mergeCells count="3">
    <mergeCell ref="B2:F2"/>
    <mergeCell ref="E3:F3"/>
    <mergeCell ref="H3:I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Сахарова Ирина Михайловна</dc:creator>
  <cp:lastModifiedBy>Elena Ryabeva</cp:lastModifiedBy>
  <cp:revision>1</cp:revision>
  <dcterms:created xsi:type="dcterms:W3CDTF">2016-09-16T11:43:16Z</dcterms:created>
  <dcterms:modified xsi:type="dcterms:W3CDTF">2024-02-20T06:53:36Z</dcterms:modified>
</cp:coreProperties>
</file>